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rethi\Downloads\"/>
    </mc:Choice>
  </mc:AlternateContent>
  <xr:revisionPtr revIDLastSave="0" documentId="13_ncr:1_{66A300FA-66EF-4B05-AC44-597974FFE764}" xr6:coauthVersionLast="47" xr6:coauthVersionMax="47" xr10:uidLastSave="{00000000-0000-0000-0000-000000000000}"/>
  <bookViews>
    <workbookView xWindow="-108" yWindow="-108" windowWidth="23256" windowHeight="12456" tabRatio="500" xr2:uid="{00000000-000D-0000-FFFF-FFFF00000000}"/>
  </bookViews>
  <sheets>
    <sheet name="Test Cases" sheetId="2" r:id="rId1"/>
    <sheet name="Defect Report"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48" i="2" l="1"/>
  <c r="D48" i="2"/>
  <c r="C48" i="2"/>
  <c r="B48" i="2"/>
  <c r="E47" i="2"/>
  <c r="D47" i="2"/>
  <c r="C47" i="2"/>
  <c r="B47" i="2"/>
  <c r="E46" i="2"/>
  <c r="D46" i="2"/>
  <c r="C46" i="2"/>
  <c r="B46" i="2"/>
  <c r="E45" i="2"/>
  <c r="D45" i="2"/>
  <c r="C45" i="2"/>
  <c r="B45" i="2"/>
  <c r="E44" i="2"/>
  <c r="D44" i="2"/>
  <c r="C44" i="2"/>
  <c r="B44" i="2"/>
  <c r="E43" i="2"/>
  <c r="D43" i="2"/>
  <c r="C43" i="2"/>
  <c r="B43" i="2"/>
  <c r="B41" i="2"/>
</calcChain>
</file>

<file path=xl/sharedStrings.xml><?xml version="1.0" encoding="utf-8"?>
<sst xmlns="http://schemas.openxmlformats.org/spreadsheetml/2006/main" count="390" uniqueCount="220">
  <si>
    <t>Sign Up (TC_SUP_001 to TC_SUP_016)</t>
  </si>
  <si>
    <t>Sign In Initial Page (TC_SIN_001 to TC_SIN_005)</t>
  </si>
  <si>
    <t>Sign In Password Page (TC_SI_001 to TC_SI_005)</t>
  </si>
  <si>
    <t>Forgot Password (TC_FP_001 to TC_FP_004)</t>
  </si>
  <si>
    <t>Test Case ID</t>
  </si>
  <si>
    <t>Module</t>
  </si>
  <si>
    <t>Test Scenario</t>
  </si>
  <si>
    <t>Preconditions</t>
  </si>
  <si>
    <t>Test Steps</t>
  </si>
  <si>
    <t>Test Data</t>
  </si>
  <si>
    <t>Expected Result</t>
  </si>
  <si>
    <t>Actual Result</t>
  </si>
  <si>
    <t>Status</t>
  </si>
  <si>
    <t>Page</t>
  </si>
  <si>
    <t>Case Type</t>
  </si>
  <si>
    <t>SIGN UP — TEST CASES</t>
  </si>
  <si>
    <t>TC001</t>
  </si>
  <si>
    <t>Signup</t>
  </si>
  <si>
    <t>Verify successful sign up with valid registration details</t>
  </si>
  <si>
    <t>Signup page</t>
  </si>
  <si>
    <t>"1. Enter valid unregistered email                       2. Enter valid first name
3. Enter valid last name
4. Enter valid mobile number
5. Enter valid password meeting all rules
6. Enter same password in Confirm Password
7. Check T&amp;C checkbox
8. Click Sign Up"</t>
  </si>
  <si>
    <t>Email: abcdef@gmail.com, First Name: Abc, Last Name: def, Mobile: 8967889898,  Password: Abcd@123, Confirm Password: Abcd@123</t>
  </si>
  <si>
    <t>Account created successfully</t>
  </si>
  <si>
    <t>Verification has been sent to the given email</t>
  </si>
  <si>
    <t>Pass</t>
  </si>
  <si>
    <t>Sign Up</t>
  </si>
  <si>
    <t>Positive</t>
  </si>
  <si>
    <t>TC002</t>
  </si>
  <si>
    <t>Verify sign up with all fields empty</t>
  </si>
  <si>
    <t>"1. Leave all fields empty
2. Click Sign Up button"</t>
  </si>
  <si>
    <t>All fields empty</t>
  </si>
  <si>
    <t>Validation errors shown for all required fields. Signup does not proceed.</t>
  </si>
  <si>
    <t>Validation errors shown for all required fields</t>
  </si>
  <si>
    <t>Negative</t>
  </si>
  <si>
    <t>TC003</t>
  </si>
  <si>
    <t>Verify validation message when First Name field is left blank</t>
  </si>
  <si>
    <t>"1. Enter valid unregistered email                       2. Blank First  Name
3. Enter valid last name
4. Enter valid mobile number
5. Enter valid password meeting all rules
6. Enter same password in Confirm Password
7. Check T&amp;C checkbox
8. Click Sign Up"</t>
  </si>
  <si>
    <t>First Name:Blank</t>
  </si>
  <si>
    <t>First Name required</t>
  </si>
  <si>
    <t>First name is required</t>
  </si>
  <si>
    <t>TC004</t>
  </si>
  <si>
    <t>Verify all fields with invalid details</t>
  </si>
  <si>
    <t>1. Enter invalid unregistered email                       2. Enter invalid first name
3. Enter invalid last name
4. Enter invalid mobile number
5. Enter valid password meeting all rules
6. Enter same password in Confirm Password
7. Check T&amp;C checkbox
8. Click Sign Up</t>
  </si>
  <si>
    <t>Email: abcdef@  First Name: Abc, Last Name: def, Mobile: 00000000,  Password: Abcd@123, Confirm Password: Abcd@123</t>
  </si>
  <si>
    <t>Validation errors shown for all required indiduval fields. Signup does not proceed.</t>
  </si>
  <si>
    <t>Validation errors shown for all required indiduval fields.</t>
  </si>
  <si>
    <t>TC005</t>
  </si>
  <si>
    <t>Verify validation message when firstname is less than 30 chracters</t>
  </si>
  <si>
    <t>First Name:More than 30 characters</t>
  </si>
  <si>
    <t>First Name:Rethinaaaaaaaaaaaaaaaaprakashhhhhhhhhhhhhhhhhhhhhhhhhh</t>
  </si>
  <si>
    <t>Validation message give less than 30 characters</t>
  </si>
  <si>
    <t xml:space="preserve">Accept the detail entered </t>
  </si>
  <si>
    <t>Fail</t>
  </si>
  <si>
    <t>Edge</t>
  </si>
  <si>
    <t>TC006</t>
  </si>
  <si>
    <t>Verify validation message for invalid email format during sign up</t>
  </si>
  <si>
    <t>Enter invalid email</t>
  </si>
  <si>
    <t>Email:abc@</t>
  </si>
  <si>
    <t>Validation shown:Invalid Email</t>
  </si>
  <si>
    <t>Account created successfully and verification email is sent</t>
  </si>
  <si>
    <t>TC007</t>
  </si>
  <si>
    <t>Verify password is accepted at minimum allowed length</t>
  </si>
  <si>
    <t>Enter all valid details                                      Password in 8 characters</t>
  </si>
  <si>
    <t>Enter all valid data    Password:Abcd@234</t>
  </si>
  <si>
    <t>Accepted</t>
  </si>
  <si>
    <t xml:space="preserve">Accept the password </t>
  </si>
  <si>
    <t>TC008</t>
  </si>
  <si>
    <t>Verify password below minimum length is rejected</t>
  </si>
  <si>
    <t>Enter all valid details                                      Password less than 8 characters</t>
  </si>
  <si>
    <t>Enter all valid Data   Password:RET@hy3</t>
  </si>
  <si>
    <t>Rejected</t>
  </si>
  <si>
    <t>Password must be atleast 8 characters long</t>
  </si>
  <si>
    <t>TC009</t>
  </si>
  <si>
    <t>Verify name is accepted at maximum allowed length</t>
  </si>
  <si>
    <t>Enter all valid details                                             Password in 20 characters</t>
  </si>
  <si>
    <t>Enter all valid data    Password:R@f12345678901234123</t>
  </si>
  <si>
    <t>TC010</t>
  </si>
  <si>
    <t>Verify name exceeding maximum length is rejected</t>
  </si>
  <si>
    <t>enter all valid fields                                  Password more than 20 characters</t>
  </si>
  <si>
    <t>Enter all valid Data    Password:Retina@3328093iriohefhefjgerughbefjbgu</t>
  </si>
  <si>
    <t>Password must be less than 20</t>
  </si>
  <si>
    <t>TC011</t>
  </si>
  <si>
    <t>Verify sign up handles special characters entered in the Name field</t>
  </si>
  <si>
    <t>Enter all valid details in required fields                  First Name Add special characters                      Click Sign up</t>
  </si>
  <si>
    <t>First Name:Rathna@#$</t>
  </si>
  <si>
    <t>Validation don,t use the special  characters in first name</t>
  </si>
  <si>
    <t>It doesn't allow to write the special character</t>
  </si>
  <si>
    <t>TC012</t>
  </si>
  <si>
    <t>Verify leading/trailing spaces in email are trimmed and validated</t>
  </si>
  <si>
    <t>Enter space in first name                               Enter all valid data</t>
  </si>
  <si>
    <t>First Name:Abcd Def</t>
  </si>
  <si>
    <t>Accept the space in first name</t>
  </si>
  <si>
    <t>Doesn't allow the space in first name</t>
  </si>
  <si>
    <t>TC013</t>
  </si>
  <si>
    <t>Verify weak password triggers a password strength message</t>
  </si>
  <si>
    <t>Weak password</t>
  </si>
  <si>
    <t>Enter all valid data    Password:13287645</t>
  </si>
  <si>
    <t>Strength message</t>
  </si>
  <si>
    <t>It doesn't allow to sign  up and gives the message</t>
  </si>
  <si>
    <t>TC014</t>
  </si>
  <si>
    <t>Verify password input is masked while typing</t>
  </si>
  <si>
    <t>1. Click on Password field
2. Type any value
3. Observe the characters displayed</t>
  </si>
  <si>
    <t>Password: abcD@1234</t>
  </si>
  <si>
    <t>Password characters should be masked (shown as dots)</t>
  </si>
  <si>
    <t>Password correctly Masked</t>
  </si>
  <si>
    <t>UI</t>
  </si>
  <si>
    <t>TC015</t>
  </si>
  <si>
    <t>Verify signup with mismatched confirm password</t>
  </si>
  <si>
    <t>1. Fill all fields validly
2. Enter valid password
3. Enter different value in Confirm Password
4. Click Sign Up</t>
  </si>
  <si>
    <t>Password: abcd@1234, Confirm Password: abcd@85685</t>
  </si>
  <si>
    <t>Validation error shown — passwords do not match</t>
  </si>
  <si>
    <t>TC016</t>
  </si>
  <si>
    <t>Verify sign up is blocked when Terms &amp; Conditions checkbox is unchecked</t>
  </si>
  <si>
    <t>Terms unchecked</t>
  </si>
  <si>
    <t>Uncheck the box</t>
  </si>
  <si>
    <t>Registration blocked</t>
  </si>
  <si>
    <t>sign up button not worked</t>
  </si>
  <si>
    <t>LOGIN — TEST CASES</t>
  </si>
  <si>
    <t>TC017</t>
  </si>
  <si>
    <t>Sign In</t>
  </si>
  <si>
    <t>Verify successful login with valid Registered email</t>
  </si>
  <si>
    <t>Registered user</t>
  </si>
  <si>
    <t>1. Enter valid registered email                              2.Click Continue</t>
  </si>
  <si>
    <t>Email:abcd@gmail.com</t>
  </si>
  <si>
    <t>User has been enter to the page with password</t>
  </si>
  <si>
    <t>Password page has been loaded with pre filled email</t>
  </si>
  <si>
    <t>Sign In Initial Page</t>
  </si>
  <si>
    <t>TC018</t>
  </si>
  <si>
    <t>Login</t>
  </si>
  <si>
    <t>Verify login fails with an incorrect password</t>
  </si>
  <si>
    <t>1.Enter valid Register Email                          2.Enter Wrong Password</t>
  </si>
  <si>
    <t>Email:abcd@gmail.com         Password:jdia@42</t>
  </si>
  <si>
    <t>Validation Password has incorrect</t>
  </si>
  <si>
    <t>validation Password Incorrect</t>
  </si>
  <si>
    <t>Sign In Password Page</t>
  </si>
  <si>
    <t>TC019</t>
  </si>
  <si>
    <t>Verify login fails with an unregistered email</t>
  </si>
  <si>
    <t>Login page</t>
  </si>
  <si>
    <t>1.Enter New Email                                                 2.Click continue</t>
  </si>
  <si>
    <t>Enter into the sign up page</t>
  </si>
  <si>
    <t>Goes to the sign up Page</t>
  </si>
  <si>
    <t>TC020</t>
  </si>
  <si>
    <t>Verify validation message when Email field is left blank on Login</t>
  </si>
  <si>
    <t>1.Blank email                                                         2.Click Continue</t>
  </si>
  <si>
    <t>Email:Blank</t>
  </si>
  <si>
    <t>Email required</t>
  </si>
  <si>
    <t>TC021</t>
  </si>
  <si>
    <t>Verify validation message when Password field is left blank on Login</t>
  </si>
  <si>
    <t>1.Enter valid Email                                        2.Click Continue                                           3.Blank password</t>
  </si>
  <si>
    <t>Password:Blank</t>
  </si>
  <si>
    <t>Password required</t>
  </si>
  <si>
    <t>TC022</t>
  </si>
  <si>
    <t>Verify validation message for invalid email format during login</t>
  </si>
  <si>
    <t>1.Enter Invalid Email                                                2.Click Continue</t>
  </si>
  <si>
    <t>Email:3247@</t>
  </si>
  <si>
    <t>Validation error shown —invalid email</t>
  </si>
  <si>
    <t>Page move to the signup page</t>
  </si>
  <si>
    <t>TC023</t>
  </si>
  <si>
    <t>Verify Continue with Google button on Sign Up page (UI)</t>
  </si>
  <si>
    <t>1. Click Continue with Google button
2. Observe behavior</t>
  </si>
  <si>
    <t>N/A</t>
  </si>
  <si>
    <t>Google OAuth popup or redirect opens correctly</t>
  </si>
  <si>
    <t>TC024</t>
  </si>
  <si>
    <t>Verify password creation rules are not shown on Sign In page (UI)</t>
  </si>
  <si>
    <t xml:space="preserve">1. Click on the Password field                                               </t>
  </si>
  <si>
    <t>Password field must be empty and not ask for any constraints</t>
  </si>
  <si>
    <t>Password creation rules were displayed on the Sign In page</t>
  </si>
  <si>
    <t>TC025</t>
  </si>
  <si>
    <t>Verify Forgot Password link navigates correctly</t>
  </si>
  <si>
    <t>1. Click on Forgot Password link
2. Observe navigation</t>
  </si>
  <si>
    <t>User is redirected to the Forgot Password page</t>
  </si>
  <si>
    <t>TC026</t>
  </si>
  <si>
    <t>Verify login form rejects SQL Injection payloads</t>
  </si>
  <si>
    <t>1. Verify registered email is pre-filled
2. Enter password field with SQL injection
3. Click Login</t>
  </si>
  <si>
    <t>Email: uerghuer01@gmail.com, Password:( ' OR '1'='1) or (" OR "1"="1) or ( ' OR 'a'='a)</t>
  </si>
  <si>
    <t>Error message shown — invalid credentials. Login does not proceed.</t>
  </si>
  <si>
    <t>Error message shown. Login was blocked correctly.</t>
  </si>
  <si>
    <t>TC027</t>
  </si>
  <si>
    <t>Forgot Password</t>
  </si>
  <si>
    <t>Verify user receives password reset link for valid email</t>
  </si>
  <si>
    <t>1. Enter valid registered email
2. Click Send Verification
3. Open email inbox
4. Check for reset link email</t>
  </si>
  <si>
    <t>Email: abcd01@gmail.com</t>
  </si>
  <si>
    <t>Success message shown and password reset link is sent to the email</t>
  </si>
  <si>
    <t>TC028</t>
  </si>
  <si>
    <t>Verify Forgot Password page as Edit icon to change the email id</t>
  </si>
  <si>
    <t>1. Check if the login page has edit icon above the email field                                                           2. Click the icon if available                                   3. Observe it</t>
  </si>
  <si>
    <t>Edit icon should be there and able to edit</t>
  </si>
  <si>
    <t>Edit icon was not visible on the Forgot Password page</t>
  </si>
  <si>
    <t>TC029</t>
  </si>
  <si>
    <t>Verify Send Verification button works with valid registered email</t>
  </si>
  <si>
    <t>Password reset email is received with a working reset link</t>
  </si>
  <si>
    <t>TC030</t>
  </si>
  <si>
    <t>Verify Back button works on Forgot Password page (UI)</t>
  </si>
  <si>
    <t>1. Click the Back button on the page                        2.Observe navigation</t>
  </si>
  <si>
    <t>User is navigated back to the Sign In page</t>
  </si>
  <si>
    <t>User is navigated back to the Sign In page correctly</t>
  </si>
  <si>
    <t>Average:76.6%</t>
  </si>
  <si>
    <t>TICHI APPLICATION — DEFECT REPORT</t>
  </si>
  <si>
    <t>Bug ID</t>
  </si>
  <si>
    <t>BUG_001</t>
  </si>
  <si>
    <t>Title</t>
  </si>
  <si>
    <t>Application allows users to proceed without validating email format on Sign In initial page</t>
  </si>
  <si>
    <t>Reported By</t>
  </si>
  <si>
    <t>Date</t>
  </si>
  <si>
    <t>Sign In (Initial)</t>
  </si>
  <si>
    <t>Test Case</t>
  </si>
  <si>
    <t>Environment</t>
  </si>
  <si>
    <t>Severity</t>
  </si>
  <si>
    <t>High</t>
  </si>
  <si>
    <t>Priority</t>
  </si>
  <si>
    <t>New</t>
  </si>
  <si>
    <t>User is on the Tichi Sign In initial page. Internet is active.</t>
  </si>
  <si>
    <t>Steps to Reproduce</t>
  </si>
  <si>
    <t>Attachment</t>
  </si>
  <si>
    <t>Screenshot is attached showing invalid email in field and page proceeding to next step.</t>
  </si>
  <si>
    <t>Rethina Prakash K.S</t>
  </si>
  <si>
    <t>Browser: Chrome | OS: Windows 11 | Application: Tichi</t>
  </si>
  <si>
    <t>1. Navigate to the Tichi Sign In page
2. Enter an invalid email format in the Email Address field (example: abcd@)
3. Click the Continue button
4. Observe the behavior</t>
  </si>
  <si>
    <t>TICHI APPLICATION — TEST CASE DOCUMENT</t>
  </si>
  <si>
    <t>Module: Signin,  Signup &amp; Forgot Password |  Tester: Rethina Prakash |  Application: Tichi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</si>
</sst>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12"/>
      <color rgb="FFFFFFFF"/>
      <name val="Arial"/>
      <charset val="1"/>
    </font>
    <font>
      <b/>
      <sz val="11"/>
      <color rgb="FF000000"/>
      <name val="Arial"/>
      <charset val="1"/>
    </font>
    <font>
      <sz val="11"/>
      <color rgb="FF000000"/>
      <name val="Arial"/>
      <charset val="1"/>
    </font>
    <font>
      <sz val="9"/>
      <color rgb="FF666666"/>
      <name val="Arial"/>
      <charset val="1"/>
    </font>
    <font>
      <b/>
      <sz val="10"/>
      <color rgb="FFFFFFFF"/>
      <name val="Arial"/>
      <charset val="1"/>
    </font>
    <font>
      <b/>
      <sz val="11"/>
      <color rgb="FF1F4E78"/>
      <name val="Arial"/>
      <charset val="1"/>
    </font>
    <font>
      <sz val="10"/>
      <name val="Arial"/>
      <charset val="1"/>
    </font>
    <font>
      <sz val="10"/>
      <name val="Arial"/>
      <family val="2"/>
      <charset val="1"/>
    </font>
    <font>
      <u/>
      <sz val="11"/>
      <color theme="10"/>
      <name val="Calibri"/>
      <family val="2"/>
      <charset val="1"/>
    </font>
    <font>
      <b/>
      <sz val="13"/>
      <color rgb="FFFFFFFF"/>
      <name val="Arial"/>
      <family val="2"/>
    </font>
    <font>
      <b/>
      <sz val="10"/>
      <name val="Arial"/>
      <family val="2"/>
    </font>
    <font>
      <sz val="10"/>
      <name val="Arial"/>
      <family val="2"/>
    </font>
    <font>
      <b/>
      <sz val="10"/>
      <color theme="1"/>
      <name val="Arial"/>
      <family val="2"/>
    </font>
  </fonts>
  <fills count="21">
    <fill>
      <patternFill patternType="none"/>
    </fill>
    <fill>
      <patternFill patternType="gray125"/>
    </fill>
    <fill>
      <patternFill patternType="solid">
        <fgColor rgb="FF4B4085"/>
        <bgColor rgb="FF1F497D"/>
      </patternFill>
    </fill>
    <fill>
      <patternFill patternType="solid">
        <fgColor rgb="FF7FA6D9"/>
        <bgColor rgb="FF969696"/>
      </patternFill>
    </fill>
    <fill>
      <patternFill patternType="solid">
        <fgColor rgb="FFB8A9D9"/>
        <bgColor rgb="FFBFBFBF"/>
      </patternFill>
    </fill>
    <fill>
      <patternFill patternType="solid">
        <fgColor rgb="FF1F4E78"/>
        <bgColor rgb="FF1F497D"/>
      </patternFill>
    </fill>
    <fill>
      <patternFill patternType="solid">
        <fgColor theme="3"/>
        <bgColor rgb="FF1F4E78"/>
      </patternFill>
    </fill>
    <fill>
      <patternFill patternType="solid">
        <fgColor rgb="FF92D050"/>
        <bgColor rgb="FFBFBFBF"/>
      </patternFill>
    </fill>
    <fill>
      <patternFill patternType="solid">
        <fgColor rgb="FFFF0000"/>
        <bgColor rgb="FF993300"/>
      </patternFill>
    </fill>
    <fill>
      <patternFill patternType="solid">
        <fgColor rgb="FFFFFFFF"/>
        <bgColor rgb="FFFFFFCC"/>
      </patternFill>
    </fill>
    <fill>
      <patternFill patternType="solid">
        <fgColor theme="3" tint="0.79998168889431442"/>
        <bgColor indexed="64"/>
      </patternFill>
    </fill>
    <fill>
      <patternFill patternType="solid">
        <fgColor rgb="FF4A4A8A"/>
      </patternFill>
    </fill>
    <fill>
      <patternFill patternType="solid">
        <fgColor rgb="FFD0E8FF"/>
      </patternFill>
    </fill>
    <fill>
      <patternFill patternType="solid">
        <fgColor rgb="FFFFFFFF"/>
      </patternFill>
    </fill>
    <fill>
      <patternFill patternType="solid">
        <fgColor rgb="FFF4CCCC"/>
      </patternFill>
    </fill>
    <fill>
      <patternFill patternType="solid">
        <fgColor rgb="FFFFF2CC"/>
      </patternFill>
    </fill>
    <fill>
      <patternFill patternType="solid">
        <fgColor rgb="FFFAFAFA"/>
      </patternFill>
    </fill>
    <fill>
      <patternFill patternType="solid">
        <fgColor rgb="FFD0E8FF"/>
        <bgColor indexed="64"/>
      </patternFill>
    </fill>
    <fill>
      <patternFill patternType="solid">
        <fgColor rgb="FF00B0F0"/>
        <bgColor indexed="64"/>
      </patternFill>
    </fill>
    <fill>
      <patternFill patternType="solid">
        <fgColor rgb="FF00B0F0"/>
        <bgColor rgb="FFCCCCCC"/>
      </patternFill>
    </fill>
    <fill>
      <patternFill patternType="solid">
        <fgColor theme="9" tint="-0.249977111117893"/>
        <bgColor indexed="64"/>
      </patternFill>
    </fill>
  </fills>
  <borders count="5">
    <border>
      <left/>
      <right/>
      <top/>
      <bottom/>
      <diagonal/>
    </border>
    <border>
      <left style="thin">
        <color rgb="FF808080"/>
      </left>
      <right style="thin">
        <color rgb="FF808080"/>
      </right>
      <top style="thin">
        <color rgb="FF808080"/>
      </top>
      <bottom style="thin">
        <color rgb="FF808080"/>
      </bottom>
      <diagonal/>
    </border>
    <border>
      <left style="thin">
        <color rgb="FFBFBFBF"/>
      </left>
      <right style="thin">
        <color rgb="FFBFBFBF"/>
      </right>
      <top style="thin">
        <color rgb="FFBFBFBF"/>
      </top>
      <bottom style="thin">
        <color rgb="FFBFBFBF"/>
      </bottom>
      <diagonal/>
    </border>
    <border>
      <left style="thin">
        <color rgb="FFCCCCCC"/>
      </left>
      <right style="thin">
        <color rgb="FFCCCCCC"/>
      </right>
      <top style="thin">
        <color rgb="FFCCCCCC"/>
      </top>
      <bottom style="thin">
        <color rgb="FFCCCCCC"/>
      </bottom>
      <diagonal/>
    </border>
    <border>
      <left style="thin">
        <color rgb="FFBFBFBF"/>
      </left>
      <right style="thin">
        <color rgb="FFBFBFBF"/>
      </right>
      <top/>
      <bottom/>
      <diagonal/>
    </border>
  </borders>
  <cellStyleXfs count="2">
    <xf numFmtId="0" fontId="0" fillId="0" borderId="0"/>
    <xf numFmtId="0" fontId="9" fillId="0" borderId="0" applyNumberFormat="0" applyFill="0" applyBorder="0" applyAlignment="0" applyProtection="0"/>
  </cellStyleXfs>
  <cellXfs count="32">
    <xf numFmtId="0" fontId="0" fillId="0" borderId="0" xfId="0"/>
    <xf numFmtId="0" fontId="1" fillId="2" borderId="0" xfId="0" applyFont="1" applyFill="1" applyAlignment="1">
      <alignment horizontal="center" vertical="center" wrapText="1"/>
    </xf>
    <xf numFmtId="0" fontId="2" fillId="3"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5" fillId="5" borderId="2" xfId="0" applyFont="1" applyFill="1" applyBorder="1" applyAlignment="1">
      <alignment horizontal="center" vertical="top" wrapText="1"/>
    </xf>
    <xf numFmtId="0" fontId="5" fillId="6" borderId="2" xfId="0" applyFont="1" applyFill="1" applyBorder="1" applyAlignment="1">
      <alignment horizontal="center" vertical="top" wrapText="1"/>
    </xf>
    <xf numFmtId="0" fontId="7" fillId="0" borderId="2" xfId="0" applyFont="1" applyBorder="1" applyAlignment="1">
      <alignment horizontal="left" vertical="top" wrapText="1"/>
    </xf>
    <xf numFmtId="0" fontId="7" fillId="7" borderId="2" xfId="0" applyFont="1" applyFill="1" applyBorder="1" applyAlignment="1">
      <alignment horizontal="left" vertical="top" wrapText="1"/>
    </xf>
    <xf numFmtId="0" fontId="8" fillId="8" borderId="2" xfId="0" applyFont="1" applyFill="1" applyBorder="1" applyAlignment="1">
      <alignment horizontal="left" vertical="top" wrapText="1"/>
    </xf>
    <xf numFmtId="0" fontId="8" fillId="9" borderId="3" xfId="0" applyFont="1" applyFill="1" applyBorder="1" applyAlignment="1">
      <alignment horizontal="left" vertical="center" wrapText="1"/>
    </xf>
    <xf numFmtId="0" fontId="7" fillId="8" borderId="2" xfId="0" applyFont="1" applyFill="1" applyBorder="1" applyAlignment="1">
      <alignment horizontal="left" vertical="top" wrapText="1"/>
    </xf>
    <xf numFmtId="0" fontId="8" fillId="0" borderId="2" xfId="0" applyFont="1" applyBorder="1" applyAlignment="1">
      <alignment horizontal="left" vertical="top" wrapText="1"/>
    </xf>
    <xf numFmtId="0" fontId="8" fillId="7" borderId="2" xfId="0" applyFont="1" applyFill="1" applyBorder="1" applyAlignment="1">
      <alignment horizontal="left" vertical="top" wrapText="1"/>
    </xf>
    <xf numFmtId="0" fontId="7" fillId="0" borderId="4" xfId="0" applyFont="1" applyBorder="1" applyAlignment="1">
      <alignment horizontal="left" vertical="top" wrapText="1"/>
    </xf>
    <xf numFmtId="0" fontId="7" fillId="0" borderId="4" xfId="0" applyFont="1" applyFill="1" applyBorder="1" applyAlignment="1">
      <alignment horizontal="left" vertical="top" wrapText="1"/>
    </xf>
    <xf numFmtId="0" fontId="0" fillId="10" borderId="0" xfId="0" applyFill="1"/>
    <xf numFmtId="0" fontId="10" fillId="11" borderId="0" xfId="0" applyFont="1" applyFill="1" applyAlignment="1">
      <alignment horizontal="center" vertical="center"/>
    </xf>
    <xf numFmtId="0" fontId="0" fillId="0" borderId="0" xfId="0"/>
    <xf numFmtId="0" fontId="11" fillId="12" borderId="3" xfId="0" applyFont="1" applyFill="1" applyBorder="1" applyAlignment="1">
      <alignment horizontal="left" vertical="center" wrapText="1"/>
    </xf>
    <xf numFmtId="0" fontId="12" fillId="13" borderId="3" xfId="0" applyFont="1" applyFill="1" applyBorder="1" applyAlignment="1">
      <alignment horizontal="left" vertical="center" wrapText="1"/>
    </xf>
    <xf numFmtId="0" fontId="11" fillId="14" borderId="3" xfId="0" applyFont="1" applyFill="1" applyBorder="1" applyAlignment="1">
      <alignment horizontal="left" vertical="center" wrapText="1"/>
    </xf>
    <xf numFmtId="0" fontId="11" fillId="15" borderId="3" xfId="0" applyFont="1" applyFill="1" applyBorder="1" applyAlignment="1">
      <alignment horizontal="left" vertical="center" wrapText="1"/>
    </xf>
    <xf numFmtId="0" fontId="12" fillId="16" borderId="3" xfId="0" applyFont="1" applyFill="1" applyBorder="1" applyAlignment="1">
      <alignment horizontal="left" vertical="center" wrapText="1"/>
    </xf>
    <xf numFmtId="0" fontId="11" fillId="17" borderId="3" xfId="0" applyFont="1" applyFill="1" applyBorder="1" applyAlignment="1">
      <alignment horizontal="left" vertical="center" wrapText="1"/>
    </xf>
    <xf numFmtId="0" fontId="0" fillId="17" borderId="0" xfId="0" applyFill="1"/>
    <xf numFmtId="0" fontId="9" fillId="0" borderId="0" xfId="1"/>
    <xf numFmtId="14" fontId="12" fillId="13" borderId="3" xfId="0" applyNumberFormat="1" applyFont="1" applyFill="1" applyBorder="1" applyAlignment="1">
      <alignment horizontal="left" vertical="center" wrapText="1"/>
    </xf>
    <xf numFmtId="0" fontId="13" fillId="0" borderId="0" xfId="0" applyFont="1" applyFill="1"/>
    <xf numFmtId="0" fontId="0" fillId="18" borderId="0" xfId="0" applyFill="1"/>
    <xf numFmtId="0" fontId="6" fillId="19" borderId="0" xfId="0" applyFont="1" applyFill="1" applyAlignment="1">
      <alignment horizontal="left" vertical="center"/>
    </xf>
    <xf numFmtId="0" fontId="4" fillId="10" borderId="0" xfId="0" applyFont="1" applyFill="1"/>
    <xf numFmtId="10" fontId="0" fillId="20" borderId="0" xfId="0" applyNumberFormat="1" applyFill="1"/>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7FA6D9"/>
      <rgbColor rgb="FF993366"/>
      <rgbColor rgb="FFFFFFCC"/>
      <rgbColor rgb="FFD9E2F3"/>
      <rgbColor rgb="FF660066"/>
      <rgbColor rgb="FFFF8080"/>
      <rgbColor rgb="FF0066CC"/>
      <rgbColor rgb="FFCCCCC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B8A9D9"/>
      <rgbColor rgb="FFFFCC99"/>
      <rgbColor rgb="FF3366FF"/>
      <rgbColor rgb="FF33CCCC"/>
      <rgbColor rgb="FF92D050"/>
      <rgbColor rgb="FFFFCC00"/>
      <rgbColor rgb="FFFF9900"/>
      <rgbColor rgb="FFFF6600"/>
      <rgbColor rgb="FF666666"/>
      <rgbColor rgb="FF969696"/>
      <rgbColor rgb="FF1F497D"/>
      <rgbColor rgb="FF339966"/>
      <rgbColor rgb="FF003300"/>
      <rgbColor rgb="FF333300"/>
      <rgbColor rgb="FF993300"/>
      <rgbColor rgb="FF993366"/>
      <rgbColor rgb="FF4B4085"/>
      <rgbColor rgb="FF1F4E78"/>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107758</xdr:colOff>
      <xdr:row>16</xdr:row>
      <xdr:rowOff>15395</xdr:rowOff>
    </xdr:from>
    <xdr:to>
      <xdr:col>1</xdr:col>
      <xdr:colOff>2655455</xdr:colOff>
      <xdr:row>22</xdr:row>
      <xdr:rowOff>137266</xdr:rowOff>
    </xdr:to>
    <xdr:pic>
      <xdr:nvPicPr>
        <xdr:cNvPr id="2" name="Picture 1">
          <a:extLst>
            <a:ext uri="{FF2B5EF4-FFF2-40B4-BE49-F238E27FC236}">
              <a16:creationId xmlns:a16="http://schemas.microsoft.com/office/drawing/2014/main" id="{D2D8B4F9-9514-4E97-9BE9-06EB96C145E2}"/>
            </a:ext>
          </a:extLst>
        </xdr:cNvPr>
        <xdr:cNvPicPr>
          <a:picLocks noChangeAspect="1"/>
        </xdr:cNvPicPr>
      </xdr:nvPicPr>
      <xdr:blipFill>
        <a:blip xmlns:r="http://schemas.openxmlformats.org/officeDocument/2006/relationships" r:embed="rId1"/>
        <a:stretch>
          <a:fillRect/>
        </a:stretch>
      </xdr:blipFill>
      <xdr:spPr>
        <a:xfrm>
          <a:off x="1616518" y="5669435"/>
          <a:ext cx="2547697" cy="1219151"/>
        </a:xfrm>
        <a:prstGeom prst="rect">
          <a:avLst/>
        </a:prstGeom>
      </xdr:spPr>
    </xdr:pic>
    <xdr:clientData/>
  </xdr:twoCellAnchor>
  <xdr:twoCellAnchor editAs="oneCell">
    <xdr:from>
      <xdr:col>1</xdr:col>
      <xdr:colOff>2661800</xdr:colOff>
      <xdr:row>16</xdr:row>
      <xdr:rowOff>15345</xdr:rowOff>
    </xdr:from>
    <xdr:to>
      <xdr:col>2</xdr:col>
      <xdr:colOff>174771</xdr:colOff>
      <xdr:row>23</xdr:row>
      <xdr:rowOff>7696</xdr:rowOff>
    </xdr:to>
    <xdr:pic>
      <xdr:nvPicPr>
        <xdr:cNvPr id="3" name="Picture 2">
          <a:extLst>
            <a:ext uri="{FF2B5EF4-FFF2-40B4-BE49-F238E27FC236}">
              <a16:creationId xmlns:a16="http://schemas.microsoft.com/office/drawing/2014/main" id="{F8CD2D05-1AD8-4F2C-BAEC-961156CB8ADC}"/>
            </a:ext>
          </a:extLst>
        </xdr:cNvPr>
        <xdr:cNvPicPr>
          <a:picLocks noChangeAspect="1"/>
        </xdr:cNvPicPr>
      </xdr:nvPicPr>
      <xdr:blipFill>
        <a:blip xmlns:r="http://schemas.openxmlformats.org/officeDocument/2006/relationships" r:embed="rId2"/>
        <a:stretch>
          <a:fillRect/>
        </a:stretch>
      </xdr:blipFill>
      <xdr:spPr>
        <a:xfrm>
          <a:off x="4170560" y="5669385"/>
          <a:ext cx="2656471" cy="1272511"/>
        </a:xfrm>
        <a:prstGeom prst="rect">
          <a:avLst/>
        </a:prstGeom>
      </xdr:spPr>
    </xdr:pic>
    <xdr:clientData/>
  </xdr:twoCellAnchor>
  <xdr:twoCellAnchor editAs="oneCell">
    <xdr:from>
      <xdr:col>1</xdr:col>
      <xdr:colOff>102351</xdr:colOff>
      <xdr:row>22</xdr:row>
      <xdr:rowOff>138761</xdr:rowOff>
    </xdr:from>
    <xdr:to>
      <xdr:col>1</xdr:col>
      <xdr:colOff>2672861</xdr:colOff>
      <xdr:row>29</xdr:row>
      <xdr:rowOff>70543</xdr:rowOff>
    </xdr:to>
    <xdr:pic>
      <xdr:nvPicPr>
        <xdr:cNvPr id="4" name="Picture 3">
          <a:extLst>
            <a:ext uri="{FF2B5EF4-FFF2-40B4-BE49-F238E27FC236}">
              <a16:creationId xmlns:a16="http://schemas.microsoft.com/office/drawing/2014/main" id="{1CC6E406-6BB4-491C-A32B-2B2B3DA88855}"/>
            </a:ext>
          </a:extLst>
        </xdr:cNvPr>
        <xdr:cNvPicPr>
          <a:picLocks noChangeAspect="1"/>
        </xdr:cNvPicPr>
      </xdr:nvPicPr>
      <xdr:blipFill>
        <a:blip xmlns:r="http://schemas.openxmlformats.org/officeDocument/2006/relationships" r:embed="rId3"/>
        <a:stretch>
          <a:fillRect/>
        </a:stretch>
      </xdr:blipFill>
      <xdr:spPr>
        <a:xfrm>
          <a:off x="1611111" y="6890081"/>
          <a:ext cx="2570510" cy="1211942"/>
        </a:xfrm>
        <a:prstGeom prst="rect">
          <a:avLst/>
        </a:prstGeom>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8"/>
  <sheetViews>
    <sheetView tabSelected="1" zoomScale="67" zoomScaleNormal="113" workbookViewId="0">
      <pane ySplit="4" topLeftCell="A37" activePane="bottomLeft" state="frozen"/>
      <selection activeCell="C2" sqref="C2"/>
      <selection pane="bottomLeft" activeCell="I41" sqref="I41"/>
    </sheetView>
  </sheetViews>
  <sheetFormatPr defaultColWidth="8.6640625" defaultRowHeight="14.4" x14ac:dyDescent="0.3"/>
  <cols>
    <col min="1" max="2" width="12" customWidth="1"/>
    <col min="3" max="3" width="45.88671875" customWidth="1"/>
    <col min="4" max="4" width="22" customWidth="1"/>
    <col min="5" max="5" width="40" customWidth="1"/>
    <col min="6" max="6" width="22" customWidth="1"/>
    <col min="7" max="7" width="34" customWidth="1"/>
    <col min="8" max="8" width="16" customWidth="1"/>
    <col min="9" max="9" width="12.88671875" customWidth="1"/>
    <col min="10" max="10" width="20" customWidth="1"/>
    <col min="11" max="11" width="23.6640625" customWidth="1"/>
  </cols>
  <sheetData>
    <row r="1" spans="1:11" ht="16.5" customHeight="1" x14ac:dyDescent="0.3">
      <c r="A1" s="30"/>
      <c r="B1" s="30"/>
      <c r="C1" s="30"/>
      <c r="D1" s="30"/>
      <c r="E1" s="30"/>
      <c r="F1" s="30"/>
      <c r="G1" s="30"/>
      <c r="H1" s="30"/>
      <c r="I1" s="30"/>
      <c r="J1" s="30"/>
      <c r="K1" s="30"/>
    </row>
    <row r="2" spans="1:11" ht="26.25" customHeight="1" x14ac:dyDescent="0.3">
      <c r="A2" s="15"/>
      <c r="B2" s="15"/>
      <c r="C2" s="15"/>
      <c r="D2" s="15"/>
      <c r="E2" s="15" t="s">
        <v>218</v>
      </c>
      <c r="F2" s="15"/>
      <c r="G2" s="15"/>
      <c r="H2" s="15"/>
      <c r="I2" s="15"/>
      <c r="J2" s="15"/>
      <c r="K2" s="15"/>
    </row>
    <row r="3" spans="1:11" ht="21" customHeight="1" x14ac:dyDescent="0.3">
      <c r="A3" s="15"/>
      <c r="B3" s="15"/>
      <c r="C3" s="15"/>
      <c r="D3" s="15" t="s">
        <v>219</v>
      </c>
      <c r="E3" s="15"/>
      <c r="F3" s="15"/>
      <c r="G3" s="15"/>
      <c r="H3" s="15"/>
      <c r="I3" s="15"/>
      <c r="J3" s="15"/>
      <c r="K3" s="15"/>
    </row>
    <row r="4" spans="1:11" ht="27.75" customHeight="1" x14ac:dyDescent="0.3">
      <c r="A4" s="4" t="s">
        <v>4</v>
      </c>
      <c r="B4" s="4" t="s">
        <v>5</v>
      </c>
      <c r="C4" s="4" t="s">
        <v>6</v>
      </c>
      <c r="D4" s="5" t="s">
        <v>7</v>
      </c>
      <c r="E4" s="5" t="s">
        <v>8</v>
      </c>
      <c r="F4" s="4" t="s">
        <v>9</v>
      </c>
      <c r="G4" s="4" t="s">
        <v>10</v>
      </c>
      <c r="H4" s="4" t="s">
        <v>11</v>
      </c>
      <c r="I4" s="4" t="s">
        <v>12</v>
      </c>
      <c r="J4" s="4" t="s">
        <v>13</v>
      </c>
      <c r="K4" s="4" t="s">
        <v>14</v>
      </c>
    </row>
    <row r="5" spans="1:11" ht="19.5" customHeight="1" x14ac:dyDescent="0.3">
      <c r="A5" s="29" t="s">
        <v>15</v>
      </c>
      <c r="B5" s="28"/>
      <c r="C5" s="28"/>
      <c r="D5" s="28"/>
      <c r="E5" s="28"/>
      <c r="F5" s="28"/>
      <c r="G5" s="28"/>
      <c r="H5" s="28"/>
      <c r="I5" s="28"/>
      <c r="J5" s="28"/>
      <c r="K5" s="28"/>
    </row>
    <row r="6" spans="1:11" ht="60" customHeight="1" x14ac:dyDescent="0.3">
      <c r="A6" s="6" t="s">
        <v>16</v>
      </c>
      <c r="B6" s="6" t="s">
        <v>17</v>
      </c>
      <c r="C6" s="6" t="s">
        <v>18</v>
      </c>
      <c r="D6" s="6" t="s">
        <v>19</v>
      </c>
      <c r="E6" s="6" t="s">
        <v>20</v>
      </c>
      <c r="F6" s="6" t="s">
        <v>21</v>
      </c>
      <c r="G6" s="6" t="s">
        <v>22</v>
      </c>
      <c r="H6" s="6" t="s">
        <v>23</v>
      </c>
      <c r="I6" s="7" t="s">
        <v>24</v>
      </c>
      <c r="J6" s="6" t="s">
        <v>25</v>
      </c>
      <c r="K6" s="6" t="s">
        <v>26</v>
      </c>
    </row>
    <row r="7" spans="1:11" ht="60" customHeight="1" x14ac:dyDescent="0.3">
      <c r="A7" s="6" t="s">
        <v>27</v>
      </c>
      <c r="B7" s="6" t="s">
        <v>17</v>
      </c>
      <c r="C7" s="6" t="s">
        <v>28</v>
      </c>
      <c r="D7" s="6" t="s">
        <v>19</v>
      </c>
      <c r="E7" s="6" t="s">
        <v>29</v>
      </c>
      <c r="F7" s="6" t="s">
        <v>30</v>
      </c>
      <c r="G7" s="6" t="s">
        <v>31</v>
      </c>
      <c r="H7" s="6" t="s">
        <v>32</v>
      </c>
      <c r="I7" s="7" t="s">
        <v>24</v>
      </c>
      <c r="J7" s="6" t="s">
        <v>25</v>
      </c>
      <c r="K7" s="6" t="s">
        <v>33</v>
      </c>
    </row>
    <row r="8" spans="1:11" ht="60" customHeight="1" x14ac:dyDescent="0.3">
      <c r="A8" s="6" t="s">
        <v>34</v>
      </c>
      <c r="B8" s="6" t="s">
        <v>17</v>
      </c>
      <c r="C8" s="6" t="s">
        <v>35</v>
      </c>
      <c r="D8" s="6" t="s">
        <v>19</v>
      </c>
      <c r="E8" s="6" t="s">
        <v>36</v>
      </c>
      <c r="F8" s="6" t="s">
        <v>37</v>
      </c>
      <c r="G8" s="6" t="s">
        <v>38</v>
      </c>
      <c r="H8" s="6" t="s">
        <v>39</v>
      </c>
      <c r="I8" s="7" t="s">
        <v>24</v>
      </c>
      <c r="J8" s="6" t="s">
        <v>25</v>
      </c>
      <c r="K8" s="6" t="s">
        <v>33</v>
      </c>
    </row>
    <row r="9" spans="1:11" ht="60" customHeight="1" x14ac:dyDescent="0.3">
      <c r="A9" s="6" t="s">
        <v>40</v>
      </c>
      <c r="B9" s="6" t="s">
        <v>17</v>
      </c>
      <c r="C9" s="6" t="s">
        <v>41</v>
      </c>
      <c r="D9" s="6" t="s">
        <v>19</v>
      </c>
      <c r="E9" s="6" t="s">
        <v>42</v>
      </c>
      <c r="F9" s="6" t="s">
        <v>43</v>
      </c>
      <c r="G9" s="6" t="s">
        <v>44</v>
      </c>
      <c r="H9" s="6" t="s">
        <v>45</v>
      </c>
      <c r="I9" s="7" t="s">
        <v>24</v>
      </c>
      <c r="J9" s="6" t="s">
        <v>25</v>
      </c>
      <c r="K9" s="6" t="s">
        <v>33</v>
      </c>
    </row>
    <row r="10" spans="1:11" ht="60" customHeight="1" x14ac:dyDescent="0.3">
      <c r="A10" s="6" t="s">
        <v>46</v>
      </c>
      <c r="B10" s="6" t="s">
        <v>17</v>
      </c>
      <c r="C10" s="6" t="s">
        <v>47</v>
      </c>
      <c r="D10" s="6" t="s">
        <v>19</v>
      </c>
      <c r="E10" s="6" t="s">
        <v>48</v>
      </c>
      <c r="F10" s="6" t="s">
        <v>49</v>
      </c>
      <c r="G10" s="6" t="s">
        <v>50</v>
      </c>
      <c r="H10" s="6" t="s">
        <v>51</v>
      </c>
      <c r="I10" s="8" t="s">
        <v>52</v>
      </c>
      <c r="J10" s="6" t="s">
        <v>25</v>
      </c>
      <c r="K10" s="6" t="s">
        <v>53</v>
      </c>
    </row>
    <row r="11" spans="1:11" ht="60" customHeight="1" x14ac:dyDescent="0.3">
      <c r="A11" s="6" t="s">
        <v>54</v>
      </c>
      <c r="B11" s="6" t="s">
        <v>17</v>
      </c>
      <c r="C11" s="6" t="s">
        <v>55</v>
      </c>
      <c r="D11" s="6" t="s">
        <v>19</v>
      </c>
      <c r="E11" s="6" t="s">
        <v>56</v>
      </c>
      <c r="F11" s="6" t="s">
        <v>57</v>
      </c>
      <c r="G11" s="6" t="s">
        <v>58</v>
      </c>
      <c r="H11" s="9" t="s">
        <v>59</v>
      </c>
      <c r="I11" s="10" t="s">
        <v>52</v>
      </c>
      <c r="J11" s="6" t="s">
        <v>25</v>
      </c>
      <c r="K11" s="6" t="s">
        <v>33</v>
      </c>
    </row>
    <row r="12" spans="1:11" ht="60" customHeight="1" x14ac:dyDescent="0.3">
      <c r="A12" s="6" t="s">
        <v>60</v>
      </c>
      <c r="B12" s="6" t="s">
        <v>17</v>
      </c>
      <c r="C12" s="6" t="s">
        <v>61</v>
      </c>
      <c r="D12" s="6" t="s">
        <v>19</v>
      </c>
      <c r="E12" s="6" t="s">
        <v>62</v>
      </c>
      <c r="F12" s="6" t="s">
        <v>63</v>
      </c>
      <c r="G12" s="6" t="s">
        <v>64</v>
      </c>
      <c r="H12" s="6" t="s">
        <v>65</v>
      </c>
      <c r="I12" s="7" t="s">
        <v>24</v>
      </c>
      <c r="J12" s="6" t="s">
        <v>25</v>
      </c>
      <c r="K12" s="6" t="s">
        <v>53</v>
      </c>
    </row>
    <row r="13" spans="1:11" ht="60" customHeight="1" x14ac:dyDescent="0.3">
      <c r="A13" s="6" t="s">
        <v>66</v>
      </c>
      <c r="B13" s="6" t="s">
        <v>17</v>
      </c>
      <c r="C13" s="6" t="s">
        <v>67</v>
      </c>
      <c r="D13" s="6" t="s">
        <v>19</v>
      </c>
      <c r="E13" s="6" t="s">
        <v>68</v>
      </c>
      <c r="F13" s="6" t="s">
        <v>69</v>
      </c>
      <c r="G13" s="6" t="s">
        <v>70</v>
      </c>
      <c r="H13" s="6" t="s">
        <v>71</v>
      </c>
      <c r="I13" s="7" t="s">
        <v>24</v>
      </c>
      <c r="J13" s="6" t="s">
        <v>25</v>
      </c>
      <c r="K13" s="6" t="s">
        <v>33</v>
      </c>
    </row>
    <row r="14" spans="1:11" ht="60" customHeight="1" x14ac:dyDescent="0.3">
      <c r="A14" s="6" t="s">
        <v>72</v>
      </c>
      <c r="B14" s="6" t="s">
        <v>17</v>
      </c>
      <c r="C14" s="6" t="s">
        <v>73</v>
      </c>
      <c r="D14" s="6" t="s">
        <v>19</v>
      </c>
      <c r="E14" s="6" t="s">
        <v>74</v>
      </c>
      <c r="F14" s="6" t="s">
        <v>75</v>
      </c>
      <c r="G14" s="6" t="s">
        <v>64</v>
      </c>
      <c r="H14" s="6" t="s">
        <v>65</v>
      </c>
      <c r="I14" s="7" t="s">
        <v>24</v>
      </c>
      <c r="J14" s="6" t="s">
        <v>25</v>
      </c>
      <c r="K14" s="6" t="s">
        <v>53</v>
      </c>
    </row>
    <row r="15" spans="1:11" ht="60" customHeight="1" x14ac:dyDescent="0.3">
      <c r="A15" s="6" t="s">
        <v>76</v>
      </c>
      <c r="B15" s="6" t="s">
        <v>17</v>
      </c>
      <c r="C15" s="6" t="s">
        <v>77</v>
      </c>
      <c r="D15" s="6" t="s">
        <v>19</v>
      </c>
      <c r="E15" s="6" t="s">
        <v>78</v>
      </c>
      <c r="F15" s="6" t="s">
        <v>79</v>
      </c>
      <c r="G15" s="11" t="s">
        <v>80</v>
      </c>
      <c r="H15" s="11" t="s">
        <v>65</v>
      </c>
      <c r="I15" s="8" t="s">
        <v>52</v>
      </c>
      <c r="J15" s="6" t="s">
        <v>25</v>
      </c>
      <c r="K15" s="6" t="s">
        <v>53</v>
      </c>
    </row>
    <row r="16" spans="1:11" ht="60" customHeight="1" x14ac:dyDescent="0.3">
      <c r="A16" s="6" t="s">
        <v>81</v>
      </c>
      <c r="B16" s="6" t="s">
        <v>17</v>
      </c>
      <c r="C16" s="6" t="s">
        <v>82</v>
      </c>
      <c r="D16" s="6" t="s">
        <v>19</v>
      </c>
      <c r="E16" s="6" t="s">
        <v>83</v>
      </c>
      <c r="F16" s="11" t="s">
        <v>84</v>
      </c>
      <c r="G16" s="11" t="s">
        <v>85</v>
      </c>
      <c r="H16" s="11" t="s">
        <v>86</v>
      </c>
      <c r="I16" s="12" t="s">
        <v>24</v>
      </c>
      <c r="J16" s="6" t="s">
        <v>25</v>
      </c>
      <c r="K16" s="6" t="s">
        <v>33</v>
      </c>
    </row>
    <row r="17" spans="1:11" ht="60" customHeight="1" x14ac:dyDescent="0.3">
      <c r="A17" s="6" t="s">
        <v>87</v>
      </c>
      <c r="B17" s="6" t="s">
        <v>17</v>
      </c>
      <c r="C17" s="6" t="s">
        <v>88</v>
      </c>
      <c r="D17" s="6" t="s">
        <v>19</v>
      </c>
      <c r="E17" s="6" t="s">
        <v>89</v>
      </c>
      <c r="F17" s="6" t="s">
        <v>90</v>
      </c>
      <c r="G17" s="6" t="s">
        <v>91</v>
      </c>
      <c r="H17" s="6" t="s">
        <v>92</v>
      </c>
      <c r="I17" s="10" t="s">
        <v>52</v>
      </c>
      <c r="J17" s="6" t="s">
        <v>25</v>
      </c>
      <c r="K17" s="6" t="s">
        <v>53</v>
      </c>
    </row>
    <row r="18" spans="1:11" ht="60" customHeight="1" x14ac:dyDescent="0.3">
      <c r="A18" s="6" t="s">
        <v>93</v>
      </c>
      <c r="B18" s="6" t="s">
        <v>17</v>
      </c>
      <c r="C18" s="6" t="s">
        <v>94</v>
      </c>
      <c r="D18" s="6" t="s">
        <v>19</v>
      </c>
      <c r="E18" s="6" t="s">
        <v>95</v>
      </c>
      <c r="F18" s="11" t="s">
        <v>96</v>
      </c>
      <c r="G18" s="6" t="s">
        <v>97</v>
      </c>
      <c r="H18" s="11" t="s">
        <v>98</v>
      </c>
      <c r="I18" s="12" t="s">
        <v>24</v>
      </c>
      <c r="J18" s="6" t="s">
        <v>25</v>
      </c>
      <c r="K18" s="6" t="s">
        <v>33</v>
      </c>
    </row>
    <row r="19" spans="1:11" ht="60" customHeight="1" x14ac:dyDescent="0.3">
      <c r="A19" s="6" t="s">
        <v>99</v>
      </c>
      <c r="B19" s="6" t="s">
        <v>17</v>
      </c>
      <c r="C19" s="6" t="s">
        <v>100</v>
      </c>
      <c r="D19" s="6" t="s">
        <v>19</v>
      </c>
      <c r="E19" s="6" t="s">
        <v>101</v>
      </c>
      <c r="F19" s="6" t="s">
        <v>102</v>
      </c>
      <c r="G19" s="6" t="s">
        <v>103</v>
      </c>
      <c r="H19" s="6" t="s">
        <v>104</v>
      </c>
      <c r="I19" s="7" t="s">
        <v>24</v>
      </c>
      <c r="J19" s="6" t="s">
        <v>25</v>
      </c>
      <c r="K19" s="6" t="s">
        <v>105</v>
      </c>
    </row>
    <row r="20" spans="1:11" ht="60" customHeight="1" x14ac:dyDescent="0.3">
      <c r="A20" s="6" t="s">
        <v>106</v>
      </c>
      <c r="B20" s="6" t="s">
        <v>17</v>
      </c>
      <c r="C20" s="6" t="s">
        <v>107</v>
      </c>
      <c r="D20" s="6" t="s">
        <v>19</v>
      </c>
      <c r="E20" s="6" t="s">
        <v>108</v>
      </c>
      <c r="F20" s="6" t="s">
        <v>109</v>
      </c>
      <c r="G20" s="6" t="s">
        <v>110</v>
      </c>
      <c r="H20" s="6" t="s">
        <v>110</v>
      </c>
      <c r="I20" s="7" t="s">
        <v>24</v>
      </c>
      <c r="J20" s="6" t="s">
        <v>25</v>
      </c>
      <c r="K20" s="6" t="s">
        <v>33</v>
      </c>
    </row>
    <row r="21" spans="1:11" ht="60" customHeight="1" x14ac:dyDescent="0.3">
      <c r="A21" s="6" t="s">
        <v>111</v>
      </c>
      <c r="B21" s="6" t="s">
        <v>17</v>
      </c>
      <c r="C21" s="6" t="s">
        <v>112</v>
      </c>
      <c r="D21" s="6" t="s">
        <v>19</v>
      </c>
      <c r="E21" s="6" t="s">
        <v>113</v>
      </c>
      <c r="F21" s="6" t="s">
        <v>114</v>
      </c>
      <c r="G21" s="6" t="s">
        <v>115</v>
      </c>
      <c r="H21" s="6" t="s">
        <v>116</v>
      </c>
      <c r="I21" s="7" t="s">
        <v>24</v>
      </c>
      <c r="J21" s="6" t="s">
        <v>25</v>
      </c>
      <c r="K21" s="6" t="s">
        <v>33</v>
      </c>
    </row>
    <row r="22" spans="1:11" ht="19.5" customHeight="1" x14ac:dyDescent="0.3">
      <c r="A22" s="29" t="s">
        <v>117</v>
      </c>
      <c r="B22" s="29" t="s">
        <v>117</v>
      </c>
      <c r="C22" s="29" t="s">
        <v>117</v>
      </c>
      <c r="D22" s="29" t="s">
        <v>117</v>
      </c>
      <c r="E22" s="29" t="s">
        <v>117</v>
      </c>
      <c r="F22" s="29" t="s">
        <v>117</v>
      </c>
      <c r="G22" s="29" t="s">
        <v>117</v>
      </c>
      <c r="H22" s="29" t="s">
        <v>117</v>
      </c>
      <c r="I22" s="29" t="s">
        <v>117</v>
      </c>
      <c r="J22" s="29" t="s">
        <v>117</v>
      </c>
      <c r="K22" s="29" t="s">
        <v>117</v>
      </c>
    </row>
    <row r="23" spans="1:11" ht="60" customHeight="1" x14ac:dyDescent="0.3">
      <c r="A23" s="6" t="s">
        <v>118</v>
      </c>
      <c r="B23" s="6" t="s">
        <v>119</v>
      </c>
      <c r="C23" s="6" t="s">
        <v>120</v>
      </c>
      <c r="D23" s="6" t="s">
        <v>121</v>
      </c>
      <c r="E23" s="6" t="s">
        <v>122</v>
      </c>
      <c r="F23" s="6" t="s">
        <v>123</v>
      </c>
      <c r="G23" s="6" t="s">
        <v>124</v>
      </c>
      <c r="H23" s="6" t="s">
        <v>125</v>
      </c>
      <c r="I23" s="7" t="s">
        <v>24</v>
      </c>
      <c r="J23" s="6" t="s">
        <v>126</v>
      </c>
      <c r="K23" s="6" t="s">
        <v>26</v>
      </c>
    </row>
    <row r="24" spans="1:11" ht="60" customHeight="1" x14ac:dyDescent="0.3">
      <c r="A24" s="6" t="s">
        <v>127</v>
      </c>
      <c r="B24" s="6" t="s">
        <v>128</v>
      </c>
      <c r="C24" s="6" t="s">
        <v>129</v>
      </c>
      <c r="D24" s="6" t="s">
        <v>121</v>
      </c>
      <c r="E24" s="6" t="s">
        <v>130</v>
      </c>
      <c r="F24" s="6" t="s">
        <v>131</v>
      </c>
      <c r="G24" s="6" t="s">
        <v>132</v>
      </c>
      <c r="H24" s="6" t="s">
        <v>133</v>
      </c>
      <c r="I24" s="7" t="s">
        <v>24</v>
      </c>
      <c r="J24" s="6" t="s">
        <v>134</v>
      </c>
      <c r="K24" s="6" t="s">
        <v>33</v>
      </c>
    </row>
    <row r="25" spans="1:11" ht="60" customHeight="1" x14ac:dyDescent="0.3">
      <c r="A25" s="6" t="s">
        <v>135</v>
      </c>
      <c r="B25" s="6" t="s">
        <v>128</v>
      </c>
      <c r="C25" s="6" t="s">
        <v>136</v>
      </c>
      <c r="D25" s="6" t="s">
        <v>137</v>
      </c>
      <c r="E25" s="6" t="s">
        <v>138</v>
      </c>
      <c r="F25" s="6" t="s">
        <v>123</v>
      </c>
      <c r="G25" s="6" t="s">
        <v>139</v>
      </c>
      <c r="H25" s="6" t="s">
        <v>140</v>
      </c>
      <c r="I25" s="7" t="s">
        <v>24</v>
      </c>
      <c r="J25" s="6" t="s">
        <v>126</v>
      </c>
      <c r="K25" s="6" t="s">
        <v>33</v>
      </c>
    </row>
    <row r="26" spans="1:11" ht="60" customHeight="1" x14ac:dyDescent="0.3">
      <c r="A26" s="6" t="s">
        <v>141</v>
      </c>
      <c r="B26" s="6" t="s">
        <v>128</v>
      </c>
      <c r="C26" s="6" t="s">
        <v>142</v>
      </c>
      <c r="D26" s="6" t="s">
        <v>137</v>
      </c>
      <c r="E26" s="6" t="s">
        <v>143</v>
      </c>
      <c r="F26" s="6" t="s">
        <v>144</v>
      </c>
      <c r="G26" s="6" t="s">
        <v>145</v>
      </c>
      <c r="H26" s="6" t="s">
        <v>145</v>
      </c>
      <c r="I26" s="7" t="s">
        <v>24</v>
      </c>
      <c r="J26" s="6" t="s">
        <v>126</v>
      </c>
      <c r="K26" s="6" t="s">
        <v>33</v>
      </c>
    </row>
    <row r="27" spans="1:11" ht="60" customHeight="1" x14ac:dyDescent="0.3">
      <c r="A27" s="6" t="s">
        <v>146</v>
      </c>
      <c r="B27" s="6" t="s">
        <v>128</v>
      </c>
      <c r="C27" s="6" t="s">
        <v>147</v>
      </c>
      <c r="D27" s="6" t="s">
        <v>137</v>
      </c>
      <c r="E27" s="6" t="s">
        <v>148</v>
      </c>
      <c r="F27" s="6" t="s">
        <v>149</v>
      </c>
      <c r="G27" s="6" t="s">
        <v>150</v>
      </c>
      <c r="H27" s="6" t="s">
        <v>150</v>
      </c>
      <c r="I27" s="7" t="s">
        <v>24</v>
      </c>
      <c r="J27" s="6" t="s">
        <v>134</v>
      </c>
      <c r="K27" s="6" t="s">
        <v>33</v>
      </c>
    </row>
    <row r="28" spans="1:11" ht="60" customHeight="1" x14ac:dyDescent="0.3">
      <c r="A28" s="6" t="s">
        <v>151</v>
      </c>
      <c r="B28" s="6" t="s">
        <v>128</v>
      </c>
      <c r="C28" s="6" t="s">
        <v>152</v>
      </c>
      <c r="D28" s="6" t="s">
        <v>137</v>
      </c>
      <c r="E28" s="6" t="s">
        <v>153</v>
      </c>
      <c r="F28" s="6" t="s">
        <v>154</v>
      </c>
      <c r="G28" s="6" t="s">
        <v>155</v>
      </c>
      <c r="H28" s="6" t="s">
        <v>156</v>
      </c>
      <c r="I28" s="10" t="s">
        <v>52</v>
      </c>
      <c r="J28" s="6" t="s">
        <v>126</v>
      </c>
      <c r="K28" s="6" t="s">
        <v>33</v>
      </c>
    </row>
    <row r="29" spans="1:11" ht="60" customHeight="1" x14ac:dyDescent="0.3">
      <c r="A29" s="6" t="s">
        <v>157</v>
      </c>
      <c r="B29" s="6" t="s">
        <v>128</v>
      </c>
      <c r="C29" s="6" t="s">
        <v>158</v>
      </c>
      <c r="D29" s="6" t="s">
        <v>137</v>
      </c>
      <c r="E29" s="6" t="s">
        <v>159</v>
      </c>
      <c r="F29" s="6" t="s">
        <v>160</v>
      </c>
      <c r="G29" s="6" t="s">
        <v>161</v>
      </c>
      <c r="H29" s="6" t="s">
        <v>161</v>
      </c>
      <c r="I29" s="7" t="s">
        <v>24</v>
      </c>
      <c r="J29" s="6" t="s">
        <v>126</v>
      </c>
      <c r="K29" s="6" t="s">
        <v>105</v>
      </c>
    </row>
    <row r="30" spans="1:11" ht="60" customHeight="1" x14ac:dyDescent="0.3">
      <c r="A30" s="6" t="s">
        <v>162</v>
      </c>
      <c r="B30" s="6" t="s">
        <v>128</v>
      </c>
      <c r="C30" s="6" t="s">
        <v>163</v>
      </c>
      <c r="D30" s="6" t="s">
        <v>137</v>
      </c>
      <c r="E30" s="6" t="s">
        <v>164</v>
      </c>
      <c r="F30" s="6" t="s">
        <v>160</v>
      </c>
      <c r="G30" s="6" t="s">
        <v>165</v>
      </c>
      <c r="H30" s="6" t="s">
        <v>166</v>
      </c>
      <c r="I30" s="10" t="s">
        <v>52</v>
      </c>
      <c r="J30" s="6" t="s">
        <v>134</v>
      </c>
      <c r="K30" s="6" t="s">
        <v>105</v>
      </c>
    </row>
    <row r="31" spans="1:11" ht="60" customHeight="1" x14ac:dyDescent="0.3">
      <c r="A31" s="6" t="s">
        <v>167</v>
      </c>
      <c r="B31" s="6" t="s">
        <v>128</v>
      </c>
      <c r="C31" s="6" t="s">
        <v>168</v>
      </c>
      <c r="D31" s="6" t="s">
        <v>137</v>
      </c>
      <c r="E31" s="6" t="s">
        <v>169</v>
      </c>
      <c r="F31" s="6" t="s">
        <v>160</v>
      </c>
      <c r="G31" s="6" t="s">
        <v>170</v>
      </c>
      <c r="H31" s="6" t="s">
        <v>170</v>
      </c>
      <c r="I31" s="7" t="s">
        <v>24</v>
      </c>
      <c r="J31" s="6" t="s">
        <v>134</v>
      </c>
      <c r="K31" s="6" t="s">
        <v>26</v>
      </c>
    </row>
    <row r="32" spans="1:11" ht="60" customHeight="1" x14ac:dyDescent="0.3">
      <c r="A32" s="6" t="s">
        <v>171</v>
      </c>
      <c r="B32" s="6" t="s">
        <v>128</v>
      </c>
      <c r="C32" s="6" t="s">
        <v>172</v>
      </c>
      <c r="D32" s="6" t="s">
        <v>137</v>
      </c>
      <c r="E32" s="6" t="s">
        <v>173</v>
      </c>
      <c r="F32" s="6" t="s">
        <v>174</v>
      </c>
      <c r="G32" s="6" t="s">
        <v>175</v>
      </c>
      <c r="H32" s="6" t="s">
        <v>176</v>
      </c>
      <c r="I32" s="7" t="s">
        <v>24</v>
      </c>
      <c r="J32" s="6" t="s">
        <v>134</v>
      </c>
      <c r="K32" s="6" t="s">
        <v>33</v>
      </c>
    </row>
    <row r="33" spans="1:11" ht="60" customHeight="1" x14ac:dyDescent="0.3">
      <c r="A33" s="6" t="s">
        <v>177</v>
      </c>
      <c r="B33" s="6" t="s">
        <v>178</v>
      </c>
      <c r="C33" s="6" t="s">
        <v>179</v>
      </c>
      <c r="D33" s="6" t="s">
        <v>137</v>
      </c>
      <c r="E33" s="6" t="s">
        <v>180</v>
      </c>
      <c r="F33" s="6" t="s">
        <v>181</v>
      </c>
      <c r="G33" s="6" t="s">
        <v>182</v>
      </c>
      <c r="H33" s="6" t="s">
        <v>182</v>
      </c>
      <c r="I33" s="7" t="s">
        <v>24</v>
      </c>
      <c r="J33" s="6" t="s">
        <v>178</v>
      </c>
      <c r="K33" s="6" t="s">
        <v>26</v>
      </c>
    </row>
    <row r="34" spans="1:11" ht="60" customHeight="1" x14ac:dyDescent="0.3">
      <c r="A34" s="6" t="s">
        <v>183</v>
      </c>
      <c r="B34" s="6" t="s">
        <v>178</v>
      </c>
      <c r="C34" s="6" t="s">
        <v>184</v>
      </c>
      <c r="D34" s="6" t="s">
        <v>137</v>
      </c>
      <c r="E34" s="6" t="s">
        <v>185</v>
      </c>
      <c r="F34" s="6" t="s">
        <v>160</v>
      </c>
      <c r="G34" s="6" t="s">
        <v>186</v>
      </c>
      <c r="H34" s="6" t="s">
        <v>187</v>
      </c>
      <c r="I34" s="10" t="s">
        <v>52</v>
      </c>
      <c r="J34" s="6" t="s">
        <v>178</v>
      </c>
      <c r="K34" s="6" t="s">
        <v>105</v>
      </c>
    </row>
    <row r="35" spans="1:11" ht="60" customHeight="1" x14ac:dyDescent="0.3">
      <c r="A35" s="6" t="s">
        <v>188</v>
      </c>
      <c r="B35" s="6" t="s">
        <v>178</v>
      </c>
      <c r="C35" s="6" t="s">
        <v>189</v>
      </c>
      <c r="D35" s="6" t="s">
        <v>137</v>
      </c>
      <c r="E35" s="6" t="s">
        <v>180</v>
      </c>
      <c r="F35" s="6" t="s">
        <v>181</v>
      </c>
      <c r="G35" s="6" t="s">
        <v>190</v>
      </c>
      <c r="H35" s="6" t="s">
        <v>190</v>
      </c>
      <c r="I35" s="7" t="s">
        <v>24</v>
      </c>
      <c r="J35" s="6" t="s">
        <v>178</v>
      </c>
      <c r="K35" s="6" t="s">
        <v>26</v>
      </c>
    </row>
    <row r="36" spans="1:11" ht="60" customHeight="1" x14ac:dyDescent="0.3">
      <c r="A36" s="6" t="s">
        <v>191</v>
      </c>
      <c r="B36" s="6" t="s">
        <v>178</v>
      </c>
      <c r="C36" s="6" t="s">
        <v>192</v>
      </c>
      <c r="D36" s="6" t="s">
        <v>137</v>
      </c>
      <c r="E36" s="6" t="s">
        <v>193</v>
      </c>
      <c r="F36" s="6" t="s">
        <v>160</v>
      </c>
      <c r="G36" s="6" t="s">
        <v>194</v>
      </c>
      <c r="H36" s="6" t="s">
        <v>195</v>
      </c>
      <c r="I36" s="7" t="s">
        <v>24</v>
      </c>
      <c r="J36" s="6" t="s">
        <v>178</v>
      </c>
      <c r="K36" s="6" t="s">
        <v>105</v>
      </c>
    </row>
    <row r="37" spans="1:11" ht="51" customHeight="1" x14ac:dyDescent="0.3">
      <c r="A37" s="13"/>
      <c r="B37" s="13"/>
      <c r="H37" s="14"/>
      <c r="I37" s="31" t="s">
        <v>196</v>
      </c>
    </row>
    <row r="41" spans="1:11" ht="15.6" x14ac:dyDescent="0.3">
      <c r="B41" s="1" t="str">
        <f>CONCATENATE("Total: ",G48," | Pass: ",G49," | Fail: ",G50," | Not Executed: ",G51)</f>
        <v xml:space="preserve">Total:  | Pass:  | Fail:  | Not Executed: </v>
      </c>
      <c r="C41" s="1"/>
      <c r="D41" s="1"/>
      <c r="E41" s="1"/>
    </row>
    <row r="42" spans="1:11" ht="69" x14ac:dyDescent="0.3">
      <c r="B42" s="2" t="s">
        <v>0</v>
      </c>
      <c r="C42" s="2" t="s">
        <v>1</v>
      </c>
      <c r="D42" s="2" t="s">
        <v>2</v>
      </c>
      <c r="E42" s="2" t="s">
        <v>3</v>
      </c>
    </row>
    <row r="43" spans="1:11" x14ac:dyDescent="0.3">
      <c r="B43" s="3" t="str">
        <f>COUNTIF('Test Cases'!$J$6:$J$36,"Sign Up")&amp;" cases"</f>
        <v>16 cases</v>
      </c>
      <c r="C43" s="3" t="str">
        <f>COUNTIF('Test Cases'!$J$6:$J$36,"Sign In Initial Page")&amp;" cases"</f>
        <v>5 cases</v>
      </c>
      <c r="D43" s="3" t="str">
        <f>COUNTIF('Test Cases'!$J$6:$J$36,"Sign In Password Page")&amp;" cases"</f>
        <v>5 cases</v>
      </c>
      <c r="E43" s="3" t="str">
        <f>COUNTIF('Test Cases'!$J$6:$J$36,"Forgot Password")&amp;" cases"</f>
        <v>4 cases</v>
      </c>
    </row>
    <row r="44" spans="1:11" x14ac:dyDescent="0.3">
      <c r="B44" s="3" t="str">
        <f>COUNTIFS('Test Cases'!$J$6:$J$36,"Sign Up",'Test Cases'!$K$6:$K$36,"Positive")&amp;" case"&amp;IF(COUNTIFS('Test Cases'!$J$6:$J$36,"Sign Up",'Test Cases'!$K$6:$K$36,"Positive")=1,"","s")</f>
        <v>1 case</v>
      </c>
      <c r="C44" s="3" t="str">
        <f>COUNTIFS('Test Cases'!$J$6:$J$36,"Sign In Initial Page",'Test Cases'!$K$6:$K$36,"Positive")&amp;" case"&amp;IF(COUNTIFS('Test Cases'!$J$6:$J$36,"Sign In Initial Page",'Test Cases'!$K$6:$K$36,"Positive")=1,"","s")</f>
        <v>1 case</v>
      </c>
      <c r="D44" s="3" t="str">
        <f>COUNTIFS('Test Cases'!$J$6:$J$36,"Sign In Password Page",'Test Cases'!$K$6:$K$36,"Positive")&amp;" case"&amp;IF(COUNTIFS('Test Cases'!$J$6:$J$36,"Sign In Password Page",'Test Cases'!$K$6:$K$36,"Positive")=1,"","s")</f>
        <v>1 case</v>
      </c>
      <c r="E44" s="3" t="str">
        <f>COUNTIFS('Test Cases'!$J$6:$J$36,"Forgot Password",'Test Cases'!$K$6:$K$36,"Positive")&amp;" case"&amp;IF(COUNTIFS('Test Cases'!$J$6:$J$36,"Forgot Password",'Test Cases'!$K$6:$K$36,"Positive")=1,"","s")</f>
        <v>2 cases</v>
      </c>
    </row>
    <row r="45" spans="1:11" x14ac:dyDescent="0.3">
      <c r="B45" s="3" t="str">
        <f>COUNTIFS('Test Cases'!$J$6:$J$36,"Sign Up",'Test Cases'!$K$6:$K$36,"Negative")&amp;" case"&amp;IF(COUNTIFS('Test Cases'!$J$6:$J$36,"Sign Up",'Test Cases'!$K$6:$K$36,"Negative")=1,"","s")</f>
        <v>9 cases</v>
      </c>
      <c r="C45" s="3" t="str">
        <f>COUNTIFS('Test Cases'!$J$6:$J$36,"Sign In Initial Page",'Test Cases'!$K$6:$K$36,"Negative")&amp;" case"&amp;IF(COUNTIFS('Test Cases'!$J$6:$J$36,"Sign In Initial Page",'Test Cases'!$K$6:$K$36,"Negative")=1,"","s")</f>
        <v>3 cases</v>
      </c>
      <c r="D45" s="3" t="str">
        <f>COUNTIFS('Test Cases'!$J$6:$J$36,"Sign In Password Page",'Test Cases'!$K$6:$K$36,"Negative")&amp;" case"&amp;IF(COUNTIFS('Test Cases'!$J$6:$J$36,"Sign In Password Page",'Test Cases'!$K$6:$K$36,"Negative")=1,"","s")</f>
        <v>3 cases</v>
      </c>
      <c r="E45" s="3" t="str">
        <f>COUNTIFS('Test Cases'!$J$6:$J$36,"Forgot Password",'Test Cases'!$K$6:$K$36,"Negative")&amp;" case"&amp;IF(COUNTIFS('Test Cases'!$J$6:$J$36,"Forgot Password",'Test Cases'!$K$6:$K$36,"Negative")=1,"","s")</f>
        <v>0 cases</v>
      </c>
    </row>
    <row r="46" spans="1:11" x14ac:dyDescent="0.3">
      <c r="B46" s="3" t="str">
        <f>COUNTIFS('Test Cases'!$J$6:$J$36,"Sign Up",'Test Cases'!$K$6:$K$36,"Edge")&amp;" case"&amp;IF(COUNTIFS('Test Cases'!$J$6:$J$36,"Sign Up",'Test Cases'!$K$6:$K$36,"Edge")=1,"","s")</f>
        <v>5 cases</v>
      </c>
      <c r="C46" s="3" t="str">
        <f>COUNTIFS('Test Cases'!$J$6:$J$36,"Sign In Initial Page",'Test Cases'!$K$6:$K$36,"Edge")&amp;" case"&amp;IF(COUNTIFS('Test Cases'!$J$6:$J$36,"Sign In Initial Page",'Test Cases'!$K$6:$K$36,"Edge")=1,"","s")</f>
        <v>0 cases</v>
      </c>
      <c r="D46" s="3" t="str">
        <f>COUNTIFS('Test Cases'!$J$6:$J$36,"Sign In Password Page",'Test Cases'!$K$6:$K$36,"Edge")&amp;" case"&amp;IF(COUNTIFS('Test Cases'!$J$6:$J$36,"Sign In Password Page",'Test Cases'!$K$6:$K$36,"Edge")=1,"","s")</f>
        <v>0 cases</v>
      </c>
      <c r="E46" s="3" t="str">
        <f>COUNTIFS('Test Cases'!$J$6:$J$36,"Forgot Password",'Test Cases'!$K$6:$K$36,"Edge")&amp;" case"&amp;IF(COUNTIFS('Test Cases'!$J$6:$J$36,"Forgot Password",'Test Cases'!$K$6:$K$36,"Edge")=1,"","s")</f>
        <v>0 cases</v>
      </c>
    </row>
    <row r="47" spans="1:11" x14ac:dyDescent="0.3">
      <c r="B47" s="3" t="str">
        <f>COUNTIFS('Test Cases'!$J$6:$J$36,"Sign Up",'Test Cases'!$K$6:$K$36,"UI")&amp;" case"&amp;IF(COUNTIFS('Test Cases'!$J$6:$J$36,"Sign Up",'Test Cases'!$K$6:$K$36,"UI")=1,"","s")</f>
        <v>1 case</v>
      </c>
      <c r="C47" s="3" t="str">
        <f>COUNTIFS('Test Cases'!$J$6:$J$36,"Sign In Initial Page",'Test Cases'!$K$6:$K$36,"UI")&amp;" case"&amp;IF(COUNTIFS('Test Cases'!$J$6:$J$36,"Sign In Initial Page",'Test Cases'!$K$6:$K$36,"UI")=1,"","s")</f>
        <v>1 case</v>
      </c>
      <c r="D47" s="3" t="str">
        <f>COUNTIFS('Test Cases'!$J$6:$J$36,"Sign In Password Page",'Test Cases'!$K$6:$K$36,"UI")&amp;" case"&amp;IF(COUNTIFS('Test Cases'!$J$6:$J$36,"Sign In Password Page",'Test Cases'!$K$6:$K$36,"UI")=1,"","s")</f>
        <v>1 case</v>
      </c>
      <c r="E47" s="3" t="str">
        <f>COUNTIFS('Test Cases'!$J$6:$J$36,"Forgot Password",'Test Cases'!$K$6:$K$36,"UI")&amp;" case"&amp;IF(COUNTIFS('Test Cases'!$J$6:$J$36,"Forgot Password",'Test Cases'!$K$6:$K$36,"UI")=1,"","s")</f>
        <v>2 cases</v>
      </c>
    </row>
    <row r="48" spans="1:11" ht="27.6" x14ac:dyDescent="0.3">
      <c r="B48" s="3" t="str">
        <f>"Pass: "&amp;COUNTIFS('Test Cases'!$J$6:$J$36,"Sign Up",'Test Cases'!$I$6:$I$36,"Pass")&amp;"  Fail: "&amp;COUNTIFS('Test Cases'!$J$6:$J$36,"Sign Up",'Test Cases'!$I$6:$I$36,"Fail")</f>
        <v>Pass: 12  Fail: 4</v>
      </c>
      <c r="C48" s="3" t="str">
        <f>"Pass: "&amp;COUNTIFS('Test Cases'!$J$6:$J$36,"Sign In Initial Page",'Test Cases'!$I$6:$I$36,"Pass")&amp;"  Fail: "&amp;COUNTIFS('Test Cases'!$J$6:$J$36,"Sign In Initial Page",'Test Cases'!$I$6:$I$36,"Fail")</f>
        <v>Pass: 4  Fail: 1</v>
      </c>
      <c r="D48" s="3" t="str">
        <f>"Pass: "&amp;COUNTIFS('Test Cases'!$J$6:$J$36,"Sign In Password Page",'Test Cases'!$I$6:$I$36,"Pass")&amp;"  Fail: "&amp;COUNTIFS('Test Cases'!$J$6:$J$36,"Sign In Password Page",'Test Cases'!$I$6:$I$36,"Fail")</f>
        <v>Pass: 4  Fail: 1</v>
      </c>
      <c r="E48" s="3" t="str">
        <f>"Pass: "&amp;COUNTIFS('Test Cases'!$J$6:$J$36,"Forgot Password",'Test Cases'!$I$6:$I$36,"Pass")&amp;"  Fail: "&amp;COUNTIFS('Test Cases'!$J$6:$J$36,"Forgot Password",'Test Cases'!$I$6:$I$36,"Fail")</f>
        <v>Pass: 3  Fail: 1</v>
      </c>
    </row>
  </sheetData>
  <mergeCells count="1">
    <mergeCell ref="B41:E41"/>
  </mergeCells>
  <pageMargins left="0.75" right="0.75" top="1" bottom="1"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6C321-50AC-401D-98CF-62BCF8AA6866}">
  <dimension ref="A1:B31"/>
  <sheetViews>
    <sheetView zoomScale="76" workbookViewId="0">
      <selection activeCell="B32" sqref="B32"/>
    </sheetView>
  </sheetViews>
  <sheetFormatPr defaultRowHeight="14.4" x14ac:dyDescent="0.3"/>
  <cols>
    <col min="1" max="1" width="22" customWidth="1"/>
    <col min="2" max="2" width="75" customWidth="1"/>
  </cols>
  <sheetData>
    <row r="1" spans="1:2" ht="16.8" x14ac:dyDescent="0.3">
      <c r="A1" s="16" t="s">
        <v>197</v>
      </c>
      <c r="B1" s="17"/>
    </row>
    <row r="2" spans="1:2" ht="22.05" customHeight="1" x14ac:dyDescent="0.3">
      <c r="A2" s="18" t="s">
        <v>198</v>
      </c>
      <c r="B2" s="19" t="s">
        <v>199</v>
      </c>
    </row>
    <row r="3" spans="1:2" x14ac:dyDescent="0.3">
      <c r="A3" s="18" t="s">
        <v>200</v>
      </c>
      <c r="B3" s="19" t="s">
        <v>201</v>
      </c>
    </row>
    <row r="4" spans="1:2" x14ac:dyDescent="0.3">
      <c r="A4" s="18" t="s">
        <v>202</v>
      </c>
      <c r="B4" s="19" t="s">
        <v>215</v>
      </c>
    </row>
    <row r="5" spans="1:2" x14ac:dyDescent="0.3">
      <c r="A5" s="18" t="s">
        <v>203</v>
      </c>
      <c r="B5" s="26">
        <v>46206</v>
      </c>
    </row>
    <row r="6" spans="1:2" x14ac:dyDescent="0.3">
      <c r="A6" s="18" t="s">
        <v>5</v>
      </c>
      <c r="B6" s="19" t="s">
        <v>204</v>
      </c>
    </row>
    <row r="7" spans="1:2" x14ac:dyDescent="0.3">
      <c r="A7" s="18" t="s">
        <v>205</v>
      </c>
      <c r="B7" s="19" t="s">
        <v>54</v>
      </c>
    </row>
    <row r="8" spans="1:2" x14ac:dyDescent="0.3">
      <c r="A8" s="18" t="s">
        <v>206</v>
      </c>
      <c r="B8" s="19" t="s">
        <v>216</v>
      </c>
    </row>
    <row r="9" spans="1:2" x14ac:dyDescent="0.3">
      <c r="A9" s="18" t="s">
        <v>207</v>
      </c>
      <c r="B9" s="20" t="s">
        <v>208</v>
      </c>
    </row>
    <row r="10" spans="1:2" x14ac:dyDescent="0.3">
      <c r="A10" s="18" t="s">
        <v>209</v>
      </c>
      <c r="B10" s="20" t="s">
        <v>208</v>
      </c>
    </row>
    <row r="11" spans="1:2" x14ac:dyDescent="0.3">
      <c r="A11" s="18" t="s">
        <v>12</v>
      </c>
      <c r="B11" s="21" t="s">
        <v>210</v>
      </c>
    </row>
    <row r="12" spans="1:2" x14ac:dyDescent="0.3">
      <c r="A12" s="18" t="s">
        <v>7</v>
      </c>
      <c r="B12" s="19" t="s">
        <v>211</v>
      </c>
    </row>
    <row r="13" spans="1:2" ht="52.8" x14ac:dyDescent="0.3">
      <c r="A13" s="18" t="s">
        <v>212</v>
      </c>
      <c r="B13" s="22" t="s">
        <v>217</v>
      </c>
    </row>
    <row r="14" spans="1:2" x14ac:dyDescent="0.3">
      <c r="A14" s="18" t="s">
        <v>10</v>
      </c>
      <c r="B14" s="22" t="s">
        <v>58</v>
      </c>
    </row>
    <row r="15" spans="1:2" x14ac:dyDescent="0.3">
      <c r="A15" s="18" t="s">
        <v>11</v>
      </c>
      <c r="B15" s="22" t="s">
        <v>59</v>
      </c>
    </row>
    <row r="16" spans="1:2" x14ac:dyDescent="0.3">
      <c r="A16" s="23" t="s">
        <v>213</v>
      </c>
      <c r="B16" s="19" t="s">
        <v>214</v>
      </c>
    </row>
    <row r="17" spans="1:2" x14ac:dyDescent="0.3">
      <c r="A17" s="24"/>
    </row>
    <row r="18" spans="1:2" x14ac:dyDescent="0.3">
      <c r="A18" s="24"/>
    </row>
    <row r="19" spans="1:2" x14ac:dyDescent="0.3">
      <c r="A19" s="24"/>
    </row>
    <row r="20" spans="1:2" x14ac:dyDescent="0.3">
      <c r="A20" s="24"/>
    </row>
    <row r="21" spans="1:2" x14ac:dyDescent="0.3">
      <c r="A21" s="24"/>
    </row>
    <row r="22" spans="1:2" x14ac:dyDescent="0.3">
      <c r="A22" s="24"/>
    </row>
    <row r="23" spans="1:2" x14ac:dyDescent="0.3">
      <c r="A23" s="24"/>
    </row>
    <row r="24" spans="1:2" x14ac:dyDescent="0.3">
      <c r="A24" s="24"/>
    </row>
    <row r="25" spans="1:2" x14ac:dyDescent="0.3">
      <c r="A25" s="24"/>
    </row>
    <row r="26" spans="1:2" x14ac:dyDescent="0.3">
      <c r="A26" s="24"/>
    </row>
    <row r="27" spans="1:2" x14ac:dyDescent="0.3">
      <c r="A27" s="24"/>
    </row>
    <row r="28" spans="1:2" x14ac:dyDescent="0.3">
      <c r="A28" s="24"/>
    </row>
    <row r="29" spans="1:2" x14ac:dyDescent="0.3">
      <c r="A29" s="24"/>
    </row>
    <row r="30" spans="1:2" x14ac:dyDescent="0.3">
      <c r="A30" s="24"/>
    </row>
    <row r="31" spans="1:2" x14ac:dyDescent="0.3">
      <c r="A31" s="27"/>
      <c r="B31" s="25"/>
    </row>
  </sheetData>
  <mergeCells count="1">
    <mergeCell ref="A1:B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Defect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Rethina Prakash</cp:lastModifiedBy>
  <cp:revision>0</cp:revision>
  <dcterms:created xsi:type="dcterms:W3CDTF">2026-07-02T10:11:25Z</dcterms:created>
  <dcterms:modified xsi:type="dcterms:W3CDTF">2026-07-03T09:34:25Z</dcterms:modified>
  <dc:language>en-US</dc:language>
</cp:coreProperties>
</file>